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öffentlichungen\KarbonateNormalbedingungen\Datenveroeffentlichung\crushed_rock_data\01_fractions\"/>
    </mc:Choice>
  </mc:AlternateContent>
  <xr:revisionPtr revIDLastSave="0" documentId="13_ncr:1_{F1FFEB5C-1017-4CA1-BF2E-1BD26F730109}" xr6:coauthVersionLast="47" xr6:coauthVersionMax="47" xr10:uidLastSave="{00000000-0000-0000-0000-000000000000}"/>
  <bookViews>
    <workbookView xWindow="40920" yWindow="-120" windowWidth="29040" windowHeight="15720" xr2:uid="{00000000-000D-0000-FFFF-FFFF00000000}"/>
  </bookViews>
  <sheets>
    <sheet name="fractions" sheetId="1" r:id="rId1"/>
  </sheets>
  <definedNames>
    <definedName name="Siebanalyse">fractions!$A$1:$E$39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 l="1"/>
  <c r="H41" i="1"/>
  <c r="H39" i="1"/>
  <c r="E41" i="1"/>
  <c r="E40" i="1"/>
  <c r="E39" i="1"/>
  <c r="E33" i="1"/>
  <c r="E32" i="1"/>
  <c r="E31" i="1"/>
  <c r="E17" i="1"/>
  <c r="E16" i="1"/>
  <c r="E15" i="1"/>
  <c r="E25" i="1"/>
  <c r="E24" i="1"/>
  <c r="E23" i="1"/>
  <c r="E8" i="1"/>
  <c r="E9" i="1"/>
  <c r="E7" i="1"/>
</calcChain>
</file>

<file path=xl/sharedStrings.xml><?xml version="1.0" encoding="utf-8"?>
<sst xmlns="http://schemas.openxmlformats.org/spreadsheetml/2006/main" count="89" uniqueCount="54">
  <si>
    <t>Wellenkalk</t>
  </si>
  <si>
    <t>Jurakalk</t>
  </si>
  <si>
    <t>Schaumkalk</t>
  </si>
  <si>
    <t>Madiger Kalk</t>
  </si>
  <si>
    <t>Cotta Sandstone</t>
  </si>
  <si>
    <t>x_50 [mm]</t>
  </si>
  <si>
    <r>
      <t>f</t>
    </r>
    <r>
      <rPr>
        <vertAlign val="subscript"/>
        <sz val="11"/>
        <color theme="1"/>
        <rFont val="Calibri"/>
        <family val="2"/>
        <scheme val="minor"/>
      </rPr>
      <t>circ</t>
    </r>
    <r>
      <rPr>
        <sz val="11"/>
        <color theme="1"/>
        <rFont val="Calibri"/>
        <family val="2"/>
        <scheme val="minor"/>
      </rPr>
      <t xml:space="preserve"> analysis 1 [ - ]</t>
    </r>
  </si>
  <si>
    <r>
      <t>f</t>
    </r>
    <r>
      <rPr>
        <vertAlign val="subscript"/>
        <sz val="11"/>
        <color theme="1"/>
        <rFont val="Calibri"/>
        <family val="2"/>
        <scheme val="minor"/>
      </rPr>
      <t>circ</t>
    </r>
    <r>
      <rPr>
        <sz val="11"/>
        <color theme="1"/>
        <rFont val="Calibri"/>
        <family val="2"/>
        <scheme val="minor"/>
      </rPr>
      <t xml:space="preserve"> analysis 2 [ - ]</t>
    </r>
  </si>
  <si>
    <r>
      <t>f</t>
    </r>
    <r>
      <rPr>
        <vertAlign val="subscript"/>
        <sz val="11"/>
        <color theme="1"/>
        <rFont val="Calibri"/>
        <family val="2"/>
        <scheme val="minor"/>
      </rPr>
      <t>circ</t>
    </r>
    <r>
      <rPr>
        <sz val="11"/>
        <color theme="1"/>
        <rFont val="Calibri"/>
        <family val="2"/>
        <scheme val="minor"/>
      </rPr>
      <t xml:space="preserve"> mean [ - ]</t>
    </r>
  </si>
  <si>
    <r>
      <t>f</t>
    </r>
    <r>
      <rPr>
        <vertAlign val="subscript"/>
        <sz val="11"/>
        <color theme="1"/>
        <rFont val="Calibri"/>
        <family val="2"/>
        <scheme val="minor"/>
      </rPr>
      <t>circ</t>
    </r>
    <r>
      <rPr>
        <sz val="11"/>
        <color theme="1"/>
        <rFont val="Calibri"/>
        <family val="2"/>
        <scheme val="minor"/>
      </rPr>
      <t xml:space="preserve"> std [ - ]</t>
    </r>
  </si>
  <si>
    <t>rock</t>
  </si>
  <si>
    <t>particle size class</t>
  </si>
  <si>
    <t>x_min [mm]</t>
  </si>
  <si>
    <t>x_max [mm]</t>
  </si>
  <si>
    <t>JK1</t>
  </si>
  <si>
    <t>JK2</t>
  </si>
  <si>
    <t>JK3</t>
  </si>
  <si>
    <t>JK4</t>
  </si>
  <si>
    <t>JK5</t>
  </si>
  <si>
    <t>JK6</t>
  </si>
  <si>
    <t>JK7</t>
  </si>
  <si>
    <t>JK8</t>
  </si>
  <si>
    <t>SK1</t>
  </si>
  <si>
    <t>SK2</t>
  </si>
  <si>
    <t>SK3</t>
  </si>
  <si>
    <t>SK4</t>
  </si>
  <si>
    <t>SK5</t>
  </si>
  <si>
    <t>SK6</t>
  </si>
  <si>
    <t>SK7</t>
  </si>
  <si>
    <t>SK8</t>
  </si>
  <si>
    <t>MK1</t>
  </si>
  <si>
    <t>MK2</t>
  </si>
  <si>
    <t>MK3</t>
  </si>
  <si>
    <t>MK4</t>
  </si>
  <si>
    <t>MK5</t>
  </si>
  <si>
    <t>MK6</t>
  </si>
  <si>
    <t>MK7</t>
  </si>
  <si>
    <t>MK8</t>
  </si>
  <si>
    <t>WK1</t>
  </si>
  <si>
    <t>WK2</t>
  </si>
  <si>
    <t>WK3</t>
  </si>
  <si>
    <t>WK4</t>
  </si>
  <si>
    <t>WK5</t>
  </si>
  <si>
    <t>WK6</t>
  </si>
  <si>
    <t>WK7</t>
  </si>
  <si>
    <t>WK8</t>
  </si>
  <si>
    <t>ST1</t>
  </si>
  <si>
    <t>ST2</t>
  </si>
  <si>
    <t>ST3</t>
  </si>
  <si>
    <t>ST4</t>
  </si>
  <si>
    <t>ST5</t>
  </si>
  <si>
    <t>ST6</t>
  </si>
  <si>
    <t>ST7</t>
  </si>
  <si>
    <t>ST8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</si>
</sst>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/>
    <xf numFmtId="164" fontId="0" fillId="0" borderId="0" xfId="0" applyNumberFormat="1" applyAlignment="1"/>
    <xf numFmtId="2" fontId="0" fillId="0" borderId="0" xfId="0" applyNumberFormat="1" applyFont="1" applyAlignment="1"/>
    <xf numFmtId="2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164" fontId="0" fillId="0" borderId="0" xfId="0" applyNumberFormat="1" applyFont="1"/>
    <xf numFmtId="11" fontId="0" fillId="0" borderId="0" xfId="0" applyNumberFormat="1" applyFont="1" applyAlignment="1">
      <alignment horizontal="center"/>
    </xf>
  </cellXfs>
  <cellStyles count="1">
    <cellStyle name="Standard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5" formatCode="0.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5" formatCode="0.00E+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0.00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67239-96A9-4316-B225-0881FD5449E0}" name="Tabelle1" displayName="Tabelle1" ref="A1:I41" totalsRowShown="0" headerRowDxfId="6" dataDxfId="10">
  <autoFilter ref="A1:I41" xr:uid="{C7767239-96A9-4316-B225-0881FD5449E0}"/>
  <tableColumns count="9">
    <tableColumn id="3" xr3:uid="{3BA4C2D5-3074-41D0-8945-3CF4552404F8}" name="rock" dataDxfId="9"/>
    <tableColumn id="8" xr3:uid="{92B1E20D-D8E9-4CA1-B776-E3514B497DB9}" name="particle size class" dataDxfId="8"/>
    <tableColumn id="10" xr3:uid="{86738FEE-9C7A-48E6-ACB0-A92472B0D0EA}" name="x_min [mm]" dataDxfId="7"/>
    <tableColumn id="9" xr3:uid="{8AC74050-00F0-4452-91E6-A7F4ACA84860}" name="x_max [mm]" dataDxfId="2"/>
    <tableColumn id="5" xr3:uid="{7B9E4B8B-31F6-4635-BA84-AA37480338A9}" name="x_50 [mm]" dataDxfId="0"/>
    <tableColumn id="12" xr3:uid="{DB6F9B75-8AEB-47B2-9BE9-1AB5785E57BD}" name="fcirc analysis 1 [ - ]" dataDxfId="1"/>
    <tableColumn id="13" xr3:uid="{EC2AE67E-6FAA-4AD0-977A-4F6E0198EEE4}" name="fcirc analysis 2 [ - ]" dataDxfId="5"/>
    <tableColumn id="14" xr3:uid="{D4A1309C-5612-4541-8D52-DA988E7F4569}" name="fcirc mean [ - ]" dataDxfId="4"/>
    <tableColumn id="15" xr3:uid="{3228E570-728E-4DBE-9C12-E410C6F949BC}" name="fcirc std [ - ]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A4" sqref="A4"/>
    </sheetView>
  </sheetViews>
  <sheetFormatPr baseColWidth="10" defaultColWidth="9.06640625" defaultRowHeight="14.25" x14ac:dyDescent="0.45"/>
  <cols>
    <col min="1" max="1" width="14.33203125" style="1" bestFit="1" customWidth="1"/>
    <col min="2" max="2" width="17.3984375" style="3" bestFit="1" customWidth="1"/>
    <col min="3" max="3" width="13.1328125" style="2" bestFit="1" customWidth="1"/>
    <col min="4" max="4" width="13.3984375" style="2" bestFit="1" customWidth="1"/>
    <col min="5" max="5" width="11.796875" style="9" bestFit="1" customWidth="1"/>
    <col min="6" max="7" width="17" style="1" bestFit="1" customWidth="1"/>
    <col min="8" max="8" width="13.796875" style="1" bestFit="1" customWidth="1"/>
    <col min="9" max="9" width="11.6640625" style="1" bestFit="1" customWidth="1"/>
    <col min="10" max="16384" width="9.06640625" style="1"/>
  </cols>
  <sheetData>
    <row r="1" spans="1:9" ht="15.75" x14ac:dyDescent="0.55000000000000004">
      <c r="A1" s="7" t="s">
        <v>10</v>
      </c>
      <c r="B1" s="6" t="s">
        <v>11</v>
      </c>
      <c r="C1" s="7" t="s">
        <v>12</v>
      </c>
      <c r="D1" s="7" t="s">
        <v>13</v>
      </c>
      <c r="E1" s="8" t="s">
        <v>5</v>
      </c>
      <c r="F1" s="7" t="s">
        <v>6</v>
      </c>
      <c r="G1" s="7" t="s">
        <v>7</v>
      </c>
      <c r="H1" s="7" t="s">
        <v>8</v>
      </c>
      <c r="I1" s="7" t="s">
        <v>9</v>
      </c>
    </row>
    <row r="2" spans="1:9" x14ac:dyDescent="0.45">
      <c r="A2" s="1" t="s">
        <v>1</v>
      </c>
      <c r="B2" s="3" t="s">
        <v>14</v>
      </c>
      <c r="C2" s="5">
        <v>5</v>
      </c>
      <c r="D2" s="5">
        <v>10</v>
      </c>
      <c r="E2" s="9">
        <v>9.4230610689999992</v>
      </c>
      <c r="F2" s="4"/>
      <c r="G2" s="4"/>
      <c r="H2" s="4">
        <v>0.85663798999999996</v>
      </c>
      <c r="I2" s="4">
        <v>2.8784121838439199E-2</v>
      </c>
    </row>
    <row r="3" spans="1:9" x14ac:dyDescent="0.45">
      <c r="A3" s="1" t="s">
        <v>1</v>
      </c>
      <c r="B3" s="3" t="s">
        <v>15</v>
      </c>
      <c r="C3" s="5">
        <v>2.5</v>
      </c>
      <c r="D3" s="5">
        <v>5</v>
      </c>
      <c r="E3" s="9">
        <v>4.8845109960000004</v>
      </c>
      <c r="F3" s="4"/>
      <c r="G3" s="4"/>
      <c r="H3" s="4">
        <v>0.84592106</v>
      </c>
      <c r="I3" s="4">
        <v>2.0953624000000001E-2</v>
      </c>
    </row>
    <row r="4" spans="1:9" x14ac:dyDescent="0.45">
      <c r="A4" s="1" t="s">
        <v>1</v>
      </c>
      <c r="B4" s="3" t="s">
        <v>16</v>
      </c>
      <c r="C4" s="5">
        <v>1.25</v>
      </c>
      <c r="D4" s="5">
        <v>2.5</v>
      </c>
      <c r="E4" s="9">
        <v>2.5101619209999999</v>
      </c>
      <c r="F4" s="4"/>
      <c r="G4" s="4"/>
      <c r="H4" s="4">
        <v>0.84854903000000004</v>
      </c>
      <c r="I4" s="4">
        <v>7.0059781000000002E-2</v>
      </c>
    </row>
    <row r="5" spans="1:9" x14ac:dyDescent="0.45">
      <c r="A5" s="12" t="s">
        <v>1</v>
      </c>
      <c r="B5" s="11" t="s">
        <v>17</v>
      </c>
      <c r="C5" s="13">
        <v>0.63</v>
      </c>
      <c r="D5" s="13">
        <v>1.25</v>
      </c>
      <c r="E5" s="9">
        <v>1.193255636</v>
      </c>
      <c r="F5" s="4"/>
      <c r="G5" s="4"/>
      <c r="H5" s="4">
        <v>0.8563769</v>
      </c>
      <c r="I5" s="4">
        <v>5.2754549999999997E-2</v>
      </c>
    </row>
    <row r="6" spans="1:9" x14ac:dyDescent="0.45">
      <c r="A6" s="12" t="s">
        <v>1</v>
      </c>
      <c r="B6" s="11" t="s">
        <v>18</v>
      </c>
      <c r="C6" s="13">
        <v>0.315</v>
      </c>
      <c r="D6" s="13">
        <v>0.63</v>
      </c>
      <c r="E6" s="9">
        <v>0.56852261000000004</v>
      </c>
      <c r="F6" s="4"/>
      <c r="G6" s="4"/>
      <c r="H6" s="4">
        <v>0.84916517999999996</v>
      </c>
      <c r="I6" s="4">
        <v>2.9941823780799098E-2</v>
      </c>
    </row>
    <row r="7" spans="1:9" x14ac:dyDescent="0.45">
      <c r="A7" s="12" t="s">
        <v>1</v>
      </c>
      <c r="B7" s="11" t="s">
        <v>19</v>
      </c>
      <c r="C7" s="13">
        <v>0.1</v>
      </c>
      <c r="D7" s="13">
        <v>0.315</v>
      </c>
      <c r="E7" s="9">
        <f>AVERAGE(Tabelle1[[#This Row],[x_min '[mm']]:[x_max '[mm']]])</f>
        <v>0.20750000000000002</v>
      </c>
      <c r="F7" s="4">
        <v>0.89584609999999998</v>
      </c>
      <c r="G7" s="4">
        <v>0.89616470000000004</v>
      </c>
      <c r="H7" s="4">
        <v>0.89600539999999995</v>
      </c>
      <c r="I7" s="4">
        <v>5.2338472491698901E-2</v>
      </c>
    </row>
    <row r="8" spans="1:9" x14ac:dyDescent="0.45">
      <c r="A8" s="12" t="s">
        <v>1</v>
      </c>
      <c r="B8" s="11" t="s">
        <v>20</v>
      </c>
      <c r="C8" s="13">
        <v>6.3E-2</v>
      </c>
      <c r="D8" s="13">
        <v>0.1</v>
      </c>
      <c r="E8" s="10">
        <f>AVERAGE(Tabelle1[[#This Row],[x_min '[mm']]:[x_max '[mm']]])</f>
        <v>8.1500000000000003E-2</v>
      </c>
      <c r="F8" s="4">
        <v>0.9059777</v>
      </c>
      <c r="G8" s="4">
        <v>0.90244489999999999</v>
      </c>
      <c r="H8" s="4">
        <v>0.90421130000000005</v>
      </c>
      <c r="I8" s="4">
        <v>3.7396765181943299E-2</v>
      </c>
    </row>
    <row r="9" spans="1:9" x14ac:dyDescent="0.45">
      <c r="A9" s="12" t="s">
        <v>1</v>
      </c>
      <c r="B9" s="11" t="s">
        <v>21</v>
      </c>
      <c r="C9" s="13">
        <v>0</v>
      </c>
      <c r="D9" s="13">
        <v>6.3E-2</v>
      </c>
      <c r="E9" s="10">
        <f>AVERAGE(Tabelle1[[#This Row],[x_min '[mm']]:[x_max '[mm']]])</f>
        <v>3.15E-2</v>
      </c>
      <c r="F9" s="4">
        <v>0.90256400000000003</v>
      </c>
      <c r="G9" s="4">
        <v>0.90266409999999997</v>
      </c>
      <c r="H9" s="4">
        <v>0.90261404999999995</v>
      </c>
      <c r="I9" s="4">
        <v>4.18586607555382E-2</v>
      </c>
    </row>
    <row r="10" spans="1:9" x14ac:dyDescent="0.45">
      <c r="A10" s="12" t="s">
        <v>2</v>
      </c>
      <c r="B10" s="11" t="s">
        <v>22</v>
      </c>
      <c r="C10" s="13">
        <v>5</v>
      </c>
      <c r="D10" s="13">
        <v>10</v>
      </c>
      <c r="E10" s="9">
        <v>9.5508905849999994</v>
      </c>
      <c r="F10" s="4"/>
      <c r="G10" s="4"/>
      <c r="H10" s="4">
        <v>0.85137814000000001</v>
      </c>
      <c r="I10" s="4">
        <v>3.1284998000000001E-2</v>
      </c>
    </row>
    <row r="11" spans="1:9" x14ac:dyDescent="0.45">
      <c r="A11" s="12" t="s">
        <v>2</v>
      </c>
      <c r="B11" s="11" t="s">
        <v>23</v>
      </c>
      <c r="C11" s="13">
        <v>2.5</v>
      </c>
      <c r="D11" s="13">
        <v>5</v>
      </c>
      <c r="E11" s="9">
        <v>4.535952064</v>
      </c>
      <c r="F11" s="4"/>
      <c r="G11" s="4"/>
      <c r="H11" s="4">
        <v>0.84094952999999995</v>
      </c>
      <c r="I11" s="4">
        <v>4.5506117999999998E-2</v>
      </c>
    </row>
    <row r="12" spans="1:9" x14ac:dyDescent="0.45">
      <c r="A12" s="12" t="s">
        <v>2</v>
      </c>
      <c r="B12" s="11" t="s">
        <v>24</v>
      </c>
      <c r="C12" s="13">
        <v>1.25</v>
      </c>
      <c r="D12" s="13">
        <v>2.5</v>
      </c>
      <c r="E12" s="9">
        <v>2.3135168959999999</v>
      </c>
      <c r="F12" s="4"/>
      <c r="G12" s="4"/>
      <c r="H12" s="4">
        <v>0.84504290999999998</v>
      </c>
      <c r="I12" s="4">
        <v>5.6754851000000002E-2</v>
      </c>
    </row>
    <row r="13" spans="1:9" x14ac:dyDescent="0.45">
      <c r="A13" s="12" t="s">
        <v>2</v>
      </c>
      <c r="B13" s="11" t="s">
        <v>25</v>
      </c>
      <c r="C13" s="13">
        <v>0.63</v>
      </c>
      <c r="D13" s="13">
        <v>1.25</v>
      </c>
      <c r="E13" s="9">
        <v>1.0820646119999999</v>
      </c>
      <c r="F13" s="4"/>
      <c r="G13" s="4"/>
      <c r="H13" s="4">
        <v>0.85833875000000004</v>
      </c>
      <c r="I13" s="4">
        <v>5.3356833999999999E-2</v>
      </c>
    </row>
    <row r="14" spans="1:9" x14ac:dyDescent="0.45">
      <c r="A14" s="12" t="s">
        <v>2</v>
      </c>
      <c r="B14" s="11" t="s">
        <v>26</v>
      </c>
      <c r="C14" s="13">
        <v>0.315</v>
      </c>
      <c r="D14" s="13">
        <v>0.63</v>
      </c>
      <c r="E14" s="9">
        <v>0.51751561000000001</v>
      </c>
      <c r="F14" s="4"/>
      <c r="G14" s="4"/>
      <c r="H14" s="4">
        <v>0.85094923</v>
      </c>
      <c r="I14" s="4">
        <v>5.3067773999999998E-2</v>
      </c>
    </row>
    <row r="15" spans="1:9" x14ac:dyDescent="0.45">
      <c r="A15" s="12" t="s">
        <v>2</v>
      </c>
      <c r="B15" s="11" t="s">
        <v>27</v>
      </c>
      <c r="C15" s="13">
        <v>0.1</v>
      </c>
      <c r="D15" s="13">
        <v>0.315</v>
      </c>
      <c r="E15" s="9">
        <f>AVERAGE(Tabelle1[[#This Row],[x_min '[mm']]:[x_max '[mm']]])</f>
        <v>0.20750000000000002</v>
      </c>
      <c r="F15" s="4">
        <v>0.85154739999999995</v>
      </c>
      <c r="G15" s="4">
        <v>0.890455</v>
      </c>
      <c r="H15" s="4">
        <v>0.87100120000000003</v>
      </c>
      <c r="I15" s="4">
        <v>5.0864006159494699E-2</v>
      </c>
    </row>
    <row r="16" spans="1:9" x14ac:dyDescent="0.45">
      <c r="A16" s="12" t="s">
        <v>2</v>
      </c>
      <c r="B16" s="11" t="s">
        <v>28</v>
      </c>
      <c r="C16" s="13">
        <v>6.3E-2</v>
      </c>
      <c r="D16" s="13">
        <v>0.1</v>
      </c>
      <c r="E16" s="10">
        <f>AVERAGE(Tabelle1[[#This Row],[x_min '[mm']]:[x_max '[mm']]])</f>
        <v>8.1500000000000003E-2</v>
      </c>
      <c r="F16" s="4">
        <v>0.89108739999999997</v>
      </c>
      <c r="G16" s="4">
        <v>0.89119429999999999</v>
      </c>
      <c r="H16" s="4">
        <v>0.89114084999999998</v>
      </c>
      <c r="I16" s="4">
        <v>4.97703506319069E-2</v>
      </c>
    </row>
    <row r="17" spans="1:9" x14ac:dyDescent="0.45">
      <c r="A17" s="12" t="s">
        <v>2</v>
      </c>
      <c r="B17" s="11" t="s">
        <v>29</v>
      </c>
      <c r="C17" s="13">
        <v>0</v>
      </c>
      <c r="D17" s="13">
        <v>6.3E-2</v>
      </c>
      <c r="E17" s="10">
        <f>AVERAGE(Tabelle1[[#This Row],[x_min '[mm']]:[x_max '[mm']]])</f>
        <v>3.15E-2</v>
      </c>
      <c r="F17" s="4">
        <v>0.88103889999999996</v>
      </c>
      <c r="G17" s="4">
        <v>0.89361210000000002</v>
      </c>
      <c r="H17" s="4">
        <v>0.88732549999999999</v>
      </c>
      <c r="I17" s="4">
        <v>5.6099496021726501E-2</v>
      </c>
    </row>
    <row r="18" spans="1:9" x14ac:dyDescent="0.45">
      <c r="A18" s="12" t="s">
        <v>3</v>
      </c>
      <c r="B18" s="11" t="s">
        <v>30</v>
      </c>
      <c r="C18" s="13">
        <v>5</v>
      </c>
      <c r="D18" s="13">
        <v>10</v>
      </c>
      <c r="E18" s="9">
        <v>9.6562962960000007</v>
      </c>
      <c r="F18" s="4"/>
      <c r="G18" s="4"/>
      <c r="H18" s="4">
        <v>0.85544940000000003</v>
      </c>
      <c r="I18" s="4">
        <v>0.171944704</v>
      </c>
    </row>
    <row r="19" spans="1:9" x14ac:dyDescent="0.45">
      <c r="A19" s="12" t="s">
        <v>3</v>
      </c>
      <c r="B19" s="11" t="s">
        <v>31</v>
      </c>
      <c r="C19" s="13">
        <v>2.5</v>
      </c>
      <c r="D19" s="13">
        <v>5</v>
      </c>
      <c r="E19" s="9">
        <v>4.6995842000000003</v>
      </c>
      <c r="F19" s="4"/>
      <c r="G19" s="4"/>
      <c r="H19" s="4">
        <v>0.84361070999999999</v>
      </c>
      <c r="I19" s="4">
        <v>2.0972240999999999E-2</v>
      </c>
    </row>
    <row r="20" spans="1:9" x14ac:dyDescent="0.45">
      <c r="A20" s="12" t="s">
        <v>3</v>
      </c>
      <c r="B20" s="11" t="s">
        <v>32</v>
      </c>
      <c r="C20" s="13">
        <v>1.25</v>
      </c>
      <c r="D20" s="13">
        <v>2.5</v>
      </c>
      <c r="E20" s="9">
        <v>2.4374215810000002</v>
      </c>
      <c r="F20" s="4"/>
      <c r="G20" s="4"/>
      <c r="H20" s="4">
        <v>0.84651346999999999</v>
      </c>
      <c r="I20" s="4">
        <v>0.10615954599999999</v>
      </c>
    </row>
    <row r="21" spans="1:9" x14ac:dyDescent="0.45">
      <c r="A21" s="12" t="s">
        <v>3</v>
      </c>
      <c r="B21" s="11" t="s">
        <v>33</v>
      </c>
      <c r="C21" s="13">
        <v>0.63</v>
      </c>
      <c r="D21" s="13">
        <v>1.25</v>
      </c>
      <c r="E21" s="9">
        <v>1.1588684419999999</v>
      </c>
      <c r="F21" s="4"/>
      <c r="G21" s="4"/>
      <c r="H21" s="4">
        <v>0.85839703000000001</v>
      </c>
      <c r="I21" s="4">
        <v>4.2245091550643002E-2</v>
      </c>
    </row>
    <row r="22" spans="1:9" x14ac:dyDescent="0.45">
      <c r="A22" s="12" t="s">
        <v>3</v>
      </c>
      <c r="B22" s="11" t="s">
        <v>34</v>
      </c>
      <c r="C22" s="13">
        <v>0.315</v>
      </c>
      <c r="D22" s="13">
        <v>0.63</v>
      </c>
      <c r="E22" s="9">
        <v>0.54279890399999997</v>
      </c>
      <c r="F22" s="4"/>
      <c r="G22" s="4"/>
      <c r="H22" s="4">
        <v>0.85183721000000001</v>
      </c>
      <c r="I22" s="4">
        <v>3.3932082405245603E-2</v>
      </c>
    </row>
    <row r="23" spans="1:9" x14ac:dyDescent="0.45">
      <c r="A23" s="12" t="s">
        <v>3</v>
      </c>
      <c r="B23" s="11" t="s">
        <v>35</v>
      </c>
      <c r="C23" s="13">
        <v>0.1</v>
      </c>
      <c r="D23" s="13">
        <v>0.315</v>
      </c>
      <c r="E23" s="9">
        <f>AVERAGE(Tabelle1[[#This Row],[x_min '[mm']]:[x_max '[mm']]])</f>
        <v>0.20750000000000002</v>
      </c>
      <c r="F23" s="4">
        <v>0.88761789999999996</v>
      </c>
      <c r="G23" s="4">
        <v>0.89937210000000001</v>
      </c>
      <c r="H23" s="4">
        <v>0.89349500000000004</v>
      </c>
      <c r="I23" s="4">
        <v>4.8521134819331103E-2</v>
      </c>
    </row>
    <row r="24" spans="1:9" x14ac:dyDescent="0.45">
      <c r="A24" s="12" t="s">
        <v>3</v>
      </c>
      <c r="B24" s="11" t="s">
        <v>36</v>
      </c>
      <c r="C24" s="13">
        <v>6.3E-2</v>
      </c>
      <c r="D24" s="13">
        <v>0.1</v>
      </c>
      <c r="E24" s="10">
        <f>AVERAGE(Tabelle1[[#This Row],[x_min '[mm']]:[x_max '[mm']]])</f>
        <v>8.1500000000000003E-2</v>
      </c>
      <c r="F24" s="4">
        <v>0.90714170000000005</v>
      </c>
      <c r="G24" s="4">
        <v>0.90891509999999998</v>
      </c>
      <c r="H24" s="4">
        <v>0.90802839999999996</v>
      </c>
      <c r="I24" s="4">
        <v>3.1942134603631003E-2</v>
      </c>
    </row>
    <row r="25" spans="1:9" x14ac:dyDescent="0.45">
      <c r="A25" s="12" t="s">
        <v>3</v>
      </c>
      <c r="B25" s="11" t="s">
        <v>37</v>
      </c>
      <c r="C25" s="13">
        <v>0</v>
      </c>
      <c r="D25" s="13">
        <v>6.3E-2</v>
      </c>
      <c r="E25" s="10">
        <f>AVERAGE(Tabelle1[[#This Row],[x_min '[mm']]:[x_max '[mm']]])</f>
        <v>3.15E-2</v>
      </c>
      <c r="F25" s="4">
        <v>0.90476670000000003</v>
      </c>
      <c r="G25" s="4">
        <v>0.89446669999999995</v>
      </c>
      <c r="H25" s="4">
        <v>0.89961670000000005</v>
      </c>
      <c r="I25" s="4">
        <v>4.98960945475291E-2</v>
      </c>
    </row>
    <row r="26" spans="1:9" x14ac:dyDescent="0.45">
      <c r="A26" s="12" t="s">
        <v>0</v>
      </c>
      <c r="B26" s="11" t="s">
        <v>38</v>
      </c>
      <c r="C26" s="13">
        <v>5</v>
      </c>
      <c r="D26" s="13">
        <v>10</v>
      </c>
      <c r="E26" s="9">
        <v>8.8643591130000008</v>
      </c>
      <c r="F26" s="4"/>
      <c r="G26" s="4"/>
      <c r="H26" s="4">
        <v>0.84772557999999998</v>
      </c>
      <c r="I26" s="4">
        <v>3.9404973000000003E-2</v>
      </c>
    </row>
    <row r="27" spans="1:9" x14ac:dyDescent="0.45">
      <c r="A27" s="12" t="s">
        <v>0</v>
      </c>
      <c r="B27" s="11" t="s">
        <v>39</v>
      </c>
      <c r="C27" s="13">
        <v>2.5</v>
      </c>
      <c r="D27" s="13">
        <v>5</v>
      </c>
      <c r="E27" s="9">
        <v>4.7455172409999999</v>
      </c>
      <c r="F27" s="4"/>
      <c r="G27" s="4"/>
      <c r="H27" s="4">
        <v>0.85114023999999999</v>
      </c>
      <c r="I27" s="4">
        <v>5.6239273999999999E-2</v>
      </c>
    </row>
    <row r="28" spans="1:9" x14ac:dyDescent="0.45">
      <c r="A28" s="12" t="s">
        <v>0</v>
      </c>
      <c r="B28" s="11" t="s">
        <v>40</v>
      </c>
      <c r="C28" s="13">
        <v>1.25</v>
      </c>
      <c r="D28" s="13">
        <v>2.5</v>
      </c>
      <c r="E28" s="9">
        <v>2.4335078530000001</v>
      </c>
      <c r="F28" s="4"/>
      <c r="G28" s="4"/>
      <c r="H28" s="4">
        <v>0.85052881999999996</v>
      </c>
      <c r="I28" s="4">
        <v>5.6171662999999997E-2</v>
      </c>
    </row>
    <row r="29" spans="1:9" x14ac:dyDescent="0.45">
      <c r="A29" s="12" t="s">
        <v>0</v>
      </c>
      <c r="B29" s="11" t="s">
        <v>41</v>
      </c>
      <c r="C29" s="13">
        <v>0.63</v>
      </c>
      <c r="D29" s="13">
        <v>1.25</v>
      </c>
      <c r="E29" s="9">
        <v>1.1765448890000001</v>
      </c>
      <c r="F29" s="4"/>
      <c r="G29" s="4"/>
      <c r="H29" s="4">
        <v>0.85533817000000001</v>
      </c>
      <c r="I29" s="4">
        <v>3.7922877000000001E-2</v>
      </c>
    </row>
    <row r="30" spans="1:9" x14ac:dyDescent="0.45">
      <c r="A30" s="12" t="s">
        <v>0</v>
      </c>
      <c r="B30" s="11" t="s">
        <v>42</v>
      </c>
      <c r="C30" s="13">
        <v>0.315</v>
      </c>
      <c r="D30" s="13">
        <v>0.63</v>
      </c>
      <c r="E30" s="9">
        <v>0.57254871399999996</v>
      </c>
      <c r="F30" s="4"/>
      <c r="G30" s="4"/>
      <c r="H30" s="4">
        <v>0.84630760000000005</v>
      </c>
      <c r="I30" s="4">
        <v>2.1107131000000001E-2</v>
      </c>
    </row>
    <row r="31" spans="1:9" x14ac:dyDescent="0.45">
      <c r="A31" s="12" t="s">
        <v>0</v>
      </c>
      <c r="B31" s="11" t="s">
        <v>43</v>
      </c>
      <c r="C31" s="13">
        <v>0.1</v>
      </c>
      <c r="D31" s="13">
        <v>0.315</v>
      </c>
      <c r="E31" s="9">
        <f>AVERAGE(Tabelle1[[#This Row],[x_min '[mm']]:[x_max '[mm']]])</f>
        <v>0.20750000000000002</v>
      </c>
      <c r="F31" s="4">
        <v>0.8943835</v>
      </c>
      <c r="G31" s="4">
        <v>0.85907489999999997</v>
      </c>
      <c r="H31" s="4">
        <v>0.87672919999999999</v>
      </c>
      <c r="I31" s="4">
        <v>5.9935513289544398E-2</v>
      </c>
    </row>
    <row r="32" spans="1:9" x14ac:dyDescent="0.45">
      <c r="A32" s="12" t="s">
        <v>0</v>
      </c>
      <c r="B32" s="11" t="s">
        <v>44</v>
      </c>
      <c r="C32" s="13">
        <v>6.3E-2</v>
      </c>
      <c r="D32" s="13">
        <v>0.1</v>
      </c>
      <c r="E32" s="10">
        <f>AVERAGE(Tabelle1[[#This Row],[x_min '[mm']]:[x_max '[mm']]])</f>
        <v>8.1500000000000003E-2</v>
      </c>
      <c r="F32" s="4">
        <v>0.88155839999999996</v>
      </c>
      <c r="G32" s="4">
        <v>0.89387660000000002</v>
      </c>
      <c r="H32" s="4">
        <v>0.88771750000000005</v>
      </c>
      <c r="I32" s="4">
        <v>5.2277773659466099E-2</v>
      </c>
    </row>
    <row r="33" spans="1:9" x14ac:dyDescent="0.45">
      <c r="A33" s="12" t="s">
        <v>0</v>
      </c>
      <c r="B33" s="11" t="s">
        <v>45</v>
      </c>
      <c r="C33" s="13">
        <v>0</v>
      </c>
      <c r="D33" s="13">
        <v>6.3E-2</v>
      </c>
      <c r="E33" s="10">
        <f>AVERAGE(Tabelle1[[#This Row],[x_min '[mm']]:[x_max '[mm']]])</f>
        <v>3.15E-2</v>
      </c>
      <c r="F33" s="4">
        <v>0.88719680000000001</v>
      </c>
      <c r="G33" s="4">
        <v>0.89718500000000001</v>
      </c>
      <c r="H33" s="4">
        <v>0.89219090000000001</v>
      </c>
      <c r="I33" s="4">
        <v>5.1651009923876397E-2</v>
      </c>
    </row>
    <row r="34" spans="1:9" x14ac:dyDescent="0.45">
      <c r="A34" s="12" t="s">
        <v>4</v>
      </c>
      <c r="B34" s="11" t="s">
        <v>46</v>
      </c>
      <c r="C34" s="13">
        <v>5</v>
      </c>
      <c r="D34" s="13">
        <v>10</v>
      </c>
      <c r="E34" s="9">
        <v>8.3343067562334596</v>
      </c>
      <c r="F34" s="2"/>
      <c r="G34" s="2"/>
      <c r="H34" s="4">
        <v>0.85625315000000002</v>
      </c>
      <c r="I34" s="4">
        <v>3.8964932969787099E-2</v>
      </c>
    </row>
    <row r="35" spans="1:9" x14ac:dyDescent="0.45">
      <c r="A35" s="12" t="s">
        <v>4</v>
      </c>
      <c r="B35" s="11" t="s">
        <v>47</v>
      </c>
      <c r="C35" s="13">
        <v>2.5</v>
      </c>
      <c r="D35" s="13">
        <v>5</v>
      </c>
      <c r="E35" s="9">
        <v>4.7066800500924799</v>
      </c>
      <c r="F35" s="2"/>
      <c r="G35" s="2"/>
      <c r="H35" s="4">
        <v>0.82451644999999996</v>
      </c>
      <c r="I35" s="4">
        <v>6.4876731101738E-2</v>
      </c>
    </row>
    <row r="36" spans="1:9" x14ac:dyDescent="0.45">
      <c r="A36" s="12" t="s">
        <v>4</v>
      </c>
      <c r="B36" s="11" t="s">
        <v>48</v>
      </c>
      <c r="C36" s="13">
        <v>1.25</v>
      </c>
      <c r="D36" s="13">
        <v>2.5</v>
      </c>
      <c r="E36" s="9">
        <v>2.41455597985806</v>
      </c>
      <c r="F36" s="2"/>
      <c r="G36" s="2"/>
      <c r="H36" s="4">
        <v>0.82305656999999999</v>
      </c>
      <c r="I36" s="4">
        <v>5.8815881390477998E-2</v>
      </c>
    </row>
    <row r="37" spans="1:9" x14ac:dyDescent="0.45">
      <c r="A37" s="12" t="s">
        <v>4</v>
      </c>
      <c r="B37" s="11" t="s">
        <v>49</v>
      </c>
      <c r="C37" s="13">
        <v>0.63</v>
      </c>
      <c r="D37" s="13">
        <v>1.25</v>
      </c>
      <c r="E37" s="9">
        <v>1.1038340182644899</v>
      </c>
      <c r="F37" s="2"/>
      <c r="G37" s="2"/>
      <c r="H37" s="4">
        <v>0.86891795999999999</v>
      </c>
      <c r="I37" s="4">
        <v>5.1507215425431498E-2</v>
      </c>
    </row>
    <row r="38" spans="1:9" x14ac:dyDescent="0.45">
      <c r="A38" s="12" t="s">
        <v>4</v>
      </c>
      <c r="B38" s="11" t="s">
        <v>50</v>
      </c>
      <c r="C38" s="13">
        <v>0.315</v>
      </c>
      <c r="D38" s="13">
        <v>0.63</v>
      </c>
      <c r="E38" s="9">
        <v>0.53086484818938295</v>
      </c>
      <c r="F38" s="2"/>
      <c r="G38" s="2"/>
      <c r="H38" s="4">
        <v>0.84774784999999997</v>
      </c>
      <c r="I38" s="4">
        <v>0.103114575180037</v>
      </c>
    </row>
    <row r="39" spans="1:9" x14ac:dyDescent="0.45">
      <c r="A39" s="12" t="s">
        <v>4</v>
      </c>
      <c r="B39" s="11" t="s">
        <v>51</v>
      </c>
      <c r="C39" s="13">
        <v>0.1</v>
      </c>
      <c r="D39" s="13">
        <v>0.315</v>
      </c>
      <c r="E39" s="9">
        <f>AVERAGE(Tabelle1[[#This Row],[x_min '[mm']]:[x_max '[mm']]])</f>
        <v>0.20750000000000002</v>
      </c>
      <c r="F39" s="2">
        <v>0.90340010000000004</v>
      </c>
      <c r="G39" s="2">
        <v>0.88104020000000005</v>
      </c>
      <c r="H39" s="4">
        <f>AVERAGE(Tabelle1[[#This Row],[fcirc analysis 1 '[ - ']]:[fcirc analysis 2 '[ - ']]])</f>
        <v>0.89222014999999999</v>
      </c>
      <c r="I39" s="4">
        <v>5.1499999999999997E-2</v>
      </c>
    </row>
    <row r="40" spans="1:9" x14ac:dyDescent="0.45">
      <c r="A40" s="12" t="s">
        <v>4</v>
      </c>
      <c r="B40" s="11" t="s">
        <v>52</v>
      </c>
      <c r="C40" s="13">
        <v>6.3E-2</v>
      </c>
      <c r="D40" s="13">
        <v>0.1</v>
      </c>
      <c r="E40" s="10">
        <f>AVERAGE(Tabelle1[[#This Row],[x_min '[mm']]:[x_max '[mm']]])</f>
        <v>8.1500000000000003E-2</v>
      </c>
      <c r="F40" s="2">
        <v>0.90747109999999997</v>
      </c>
      <c r="G40" s="2">
        <v>0.90755580000000002</v>
      </c>
      <c r="H40" s="4">
        <f>AVERAGE(Tabelle1[[#This Row],[fcirc analysis 1 '[ - ']]:[fcirc analysis 2 '[ - ']]])</f>
        <v>0.90751344999999994</v>
      </c>
      <c r="I40" s="4">
        <v>4.8399999999999999E-2</v>
      </c>
    </row>
    <row r="41" spans="1:9" x14ac:dyDescent="0.45">
      <c r="A41" s="12" t="s">
        <v>4</v>
      </c>
      <c r="B41" s="11" t="s">
        <v>53</v>
      </c>
      <c r="C41" s="13">
        <v>0</v>
      </c>
      <c r="D41" s="13">
        <v>6.3E-2</v>
      </c>
      <c r="E41" s="10">
        <f>AVERAGE(Tabelle1[[#This Row],[x_min '[mm']]:[x_max '[mm']]])</f>
        <v>3.15E-2</v>
      </c>
      <c r="F41" s="2">
        <v>0.89329060000000005</v>
      </c>
      <c r="G41" s="2">
        <v>0.8917621</v>
      </c>
      <c r="H41" s="4">
        <f>AVERAGE(Tabelle1[[#This Row],[fcirc analysis 1 '[ - ']]:[fcirc analysis 2 '[ - ']]])</f>
        <v>0.89252635000000002</v>
      </c>
      <c r="I41" s="4">
        <v>7.2800000000000004E-2</v>
      </c>
    </row>
    <row r="42" spans="1:9" x14ac:dyDescent="0.45">
      <c r="A42" s="12"/>
      <c r="B42" s="11"/>
      <c r="C42" s="10"/>
      <c r="D42" s="10"/>
    </row>
    <row r="43" spans="1:9" x14ac:dyDescent="0.45">
      <c r="A43" s="12"/>
      <c r="B43" s="11"/>
      <c r="C43" s="10"/>
      <c r="D43" s="10"/>
    </row>
    <row r="44" spans="1:9" x14ac:dyDescent="0.45">
      <c r="A44" s="12"/>
      <c r="B44" s="11"/>
      <c r="C44" s="10"/>
      <c r="D44" s="10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fractions</vt:lpstr>
      <vt:lpstr>Siebanalyse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Börner</dc:creator>
  <cp:lastModifiedBy>Jana Börner</cp:lastModifiedBy>
  <dcterms:created xsi:type="dcterms:W3CDTF">2022-09-08T12:01:22Z</dcterms:created>
  <dcterms:modified xsi:type="dcterms:W3CDTF">2022-09-08T13:09:48Z</dcterms:modified>
</cp:coreProperties>
</file>